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BIN\Downloads\"/>
    </mc:Choice>
  </mc:AlternateContent>
  <xr:revisionPtr revIDLastSave="0" documentId="13_ncr:1_{98638E21-F784-418F-A9C2-BA24BE19EFE0}" xr6:coauthVersionLast="47" xr6:coauthVersionMax="47" xr10:uidLastSave="{00000000-0000-0000-0000-000000000000}"/>
  <bookViews>
    <workbookView xWindow="-108" yWindow="-108" windowWidth="23256" windowHeight="12456" activeTab="1" xr2:uid="{C6AB3B0E-8E47-4C80-B367-7F9CFCFF7B7F}"/>
  </bookViews>
  <sheets>
    <sheet name="session4data" sheetId="1" r:id="rId1"/>
    <sheet name="ACTIVITY SHEET" sheetId="2" r:id="rId2"/>
  </sheets>
  <calcPr calcId="191029"/>
</workbook>
</file>

<file path=xl/calcChain.xml><?xml version="1.0" encoding="utf-8"?>
<calcChain xmlns="http://schemas.openxmlformats.org/spreadsheetml/2006/main">
  <c r="D17" i="2" l="1"/>
  <c r="L30" i="2"/>
  <c r="L29" i="2"/>
  <c r="L28" i="2"/>
  <c r="L27" i="2"/>
  <c r="L26" i="2"/>
  <c r="L25" i="2"/>
  <c r="L24" i="2"/>
  <c r="L23" i="2"/>
  <c r="L22" i="2"/>
  <c r="K21" i="2"/>
  <c r="J20" i="2"/>
  <c r="J19" i="2"/>
  <c r="J18" i="2"/>
  <c r="J17" i="2"/>
  <c r="J16" i="2"/>
  <c r="K15" i="2"/>
  <c r="K14" i="2"/>
  <c r="J13" i="2"/>
  <c r="J12" i="2"/>
  <c r="J11" i="2"/>
  <c r="J10" i="2"/>
  <c r="J9" i="2"/>
  <c r="J8" i="2"/>
  <c r="J7" i="2"/>
  <c r="J6" i="2"/>
  <c r="J5" i="2"/>
  <c r="J4" i="2"/>
  <c r="J3" i="2"/>
  <c r="J2" i="2"/>
</calcChain>
</file>

<file path=xl/sharedStrings.xml><?xml version="1.0" encoding="utf-8"?>
<sst xmlns="http://schemas.openxmlformats.org/spreadsheetml/2006/main" count="108" uniqueCount="61">
  <si>
    <t>Student ID</t>
  </si>
  <si>
    <t>Name</t>
  </si>
  <si>
    <t>Age</t>
  </si>
  <si>
    <t>Gender</t>
  </si>
  <si>
    <t>Class</t>
  </si>
  <si>
    <t>Attendance %</t>
  </si>
  <si>
    <t>Study Hours</t>
  </si>
  <si>
    <t>S001</t>
  </si>
  <si>
    <t>Arun</t>
  </si>
  <si>
    <t>Male</t>
  </si>
  <si>
    <t>S002</t>
  </si>
  <si>
    <t>Anjali</t>
  </si>
  <si>
    <t>Female</t>
  </si>
  <si>
    <t>S003</t>
  </si>
  <si>
    <t>Rahul</t>
  </si>
  <si>
    <t>S004</t>
  </si>
  <si>
    <t>Meera</t>
  </si>
  <si>
    <t>S005</t>
  </si>
  <si>
    <t>Vishnu</t>
  </si>
  <si>
    <t>S006</t>
  </si>
  <si>
    <t>Fathima</t>
  </si>
  <si>
    <t>S007</t>
  </si>
  <si>
    <t>Adithya</t>
  </si>
  <si>
    <t>S008</t>
  </si>
  <si>
    <t>Diya</t>
  </si>
  <si>
    <t>S009</t>
  </si>
  <si>
    <t>Nikhil</t>
  </si>
  <si>
    <t>S010</t>
  </si>
  <si>
    <t>Aiswarya</t>
  </si>
  <si>
    <t>FORMULAS</t>
  </si>
  <si>
    <t>SUM</t>
  </si>
  <si>
    <t>MIN</t>
  </si>
  <si>
    <t>MAX</t>
  </si>
  <si>
    <t>COUNT</t>
  </si>
  <si>
    <t>COUNTA</t>
  </si>
  <si>
    <t>COUNTBLANK</t>
  </si>
  <si>
    <t>ATTENDANCE</t>
  </si>
  <si>
    <t>ROUND</t>
  </si>
  <si>
    <t>ABS</t>
  </si>
  <si>
    <t>AVERAGE</t>
  </si>
  <si>
    <t>MEDIAN</t>
  </si>
  <si>
    <t>VAR</t>
  </si>
  <si>
    <t>STDEV</t>
  </si>
  <si>
    <t>LARGE - 1st</t>
  </si>
  <si>
    <t>SMALL - 1st</t>
  </si>
  <si>
    <t>SMALL - 2nd</t>
  </si>
  <si>
    <t>SMALL - 3rd</t>
  </si>
  <si>
    <t>LARGE - 2nd</t>
  </si>
  <si>
    <t>LARGE - 3rd</t>
  </si>
  <si>
    <t>IF</t>
  </si>
  <si>
    <t>IFS</t>
  </si>
  <si>
    <t>COUNTIF</t>
  </si>
  <si>
    <t>SUMIF</t>
  </si>
  <si>
    <t>AVERAGEIF</t>
  </si>
  <si>
    <t>PROPER</t>
  </si>
  <si>
    <t>UPPER</t>
  </si>
  <si>
    <t>LOWER</t>
  </si>
  <si>
    <t>RIGHT</t>
  </si>
  <si>
    <t>LEFT</t>
  </si>
  <si>
    <t>MID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</si>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</sst>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10" xfId="0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0" fillId="0" borderId="10" xfId="0" applyBorder="1"/>
    <xf numFmtId="0" fontId="0" fillId="34" borderId="10" xfId="0" applyFill="1" applyBorder="1" applyAlignment="1">
      <alignment horizontal="center" vertical="center"/>
    </xf>
    <xf numFmtId="0" fontId="0" fillId="35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A20F4-B433-457B-B95C-9D05D1F76ECE}">
  <dimension ref="A1:G11"/>
  <sheetViews>
    <sheetView workbookViewId="0">
      <selection activeCell="L6" sqref="L6"/>
    </sheetView>
  </sheetViews>
  <sheetFormatPr defaultRowHeight="14.4" x14ac:dyDescent="0.3"/>
  <cols>
    <col min="1" max="7" width="8.5546875" customWidth="1"/>
  </cols>
  <sheetData>
    <row r="1" spans="1:7" ht="22.2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15</v>
      </c>
      <c r="D2" t="s">
        <v>9</v>
      </c>
      <c r="E2">
        <v>10</v>
      </c>
      <c r="F2">
        <v>92</v>
      </c>
      <c r="G2">
        <v>2.5</v>
      </c>
    </row>
    <row r="3" spans="1:7" x14ac:dyDescent="0.3">
      <c r="A3" t="s">
        <v>10</v>
      </c>
      <c r="B3" t="s">
        <v>11</v>
      </c>
      <c r="C3">
        <v>15</v>
      </c>
      <c r="D3" t="s">
        <v>12</v>
      </c>
      <c r="E3">
        <v>10</v>
      </c>
      <c r="F3">
        <v>96</v>
      </c>
      <c r="G3">
        <v>3</v>
      </c>
    </row>
    <row r="4" spans="1:7" x14ac:dyDescent="0.3">
      <c r="A4" t="s">
        <v>13</v>
      </c>
      <c r="B4" t="s">
        <v>14</v>
      </c>
      <c r="C4">
        <v>16</v>
      </c>
      <c r="D4" t="s">
        <v>9</v>
      </c>
      <c r="E4">
        <v>11</v>
      </c>
      <c r="F4">
        <v>88</v>
      </c>
      <c r="G4">
        <v>2</v>
      </c>
    </row>
    <row r="5" spans="1:7" x14ac:dyDescent="0.3">
      <c r="A5" t="s">
        <v>15</v>
      </c>
      <c r="B5" t="s">
        <v>16</v>
      </c>
      <c r="C5">
        <v>15</v>
      </c>
      <c r="D5" t="s">
        <v>12</v>
      </c>
      <c r="E5">
        <v>10</v>
      </c>
      <c r="F5">
        <v>98</v>
      </c>
      <c r="G5">
        <v>3.5</v>
      </c>
    </row>
    <row r="6" spans="1:7" x14ac:dyDescent="0.3">
      <c r="A6" t="s">
        <v>17</v>
      </c>
      <c r="B6" t="s">
        <v>18</v>
      </c>
      <c r="C6">
        <v>16</v>
      </c>
      <c r="D6" t="s">
        <v>9</v>
      </c>
      <c r="E6">
        <v>11</v>
      </c>
      <c r="F6">
        <v>78</v>
      </c>
      <c r="G6">
        <v>1.5</v>
      </c>
    </row>
    <row r="7" spans="1:7" x14ac:dyDescent="0.3">
      <c r="A7" t="s">
        <v>19</v>
      </c>
      <c r="B7" t="s">
        <v>20</v>
      </c>
      <c r="C7">
        <v>15</v>
      </c>
      <c r="D7" t="s">
        <v>12</v>
      </c>
      <c r="E7">
        <v>10</v>
      </c>
      <c r="F7">
        <v>91</v>
      </c>
      <c r="G7">
        <v>2.8</v>
      </c>
    </row>
    <row r="8" spans="1:7" x14ac:dyDescent="0.3">
      <c r="A8" t="s">
        <v>21</v>
      </c>
      <c r="B8" t="s">
        <v>22</v>
      </c>
      <c r="C8">
        <v>16</v>
      </c>
      <c r="D8" t="s">
        <v>9</v>
      </c>
      <c r="E8">
        <v>11</v>
      </c>
      <c r="F8">
        <v>87</v>
      </c>
      <c r="G8">
        <v>2.2000000000000002</v>
      </c>
    </row>
    <row r="9" spans="1:7" x14ac:dyDescent="0.3">
      <c r="A9" t="s">
        <v>23</v>
      </c>
      <c r="B9" t="s">
        <v>24</v>
      </c>
      <c r="C9">
        <v>15</v>
      </c>
      <c r="D9" t="s">
        <v>12</v>
      </c>
      <c r="E9">
        <v>10</v>
      </c>
      <c r="F9">
        <v>99</v>
      </c>
      <c r="G9">
        <v>4</v>
      </c>
    </row>
    <row r="10" spans="1:7" x14ac:dyDescent="0.3">
      <c r="A10" t="s">
        <v>25</v>
      </c>
      <c r="B10" t="s">
        <v>26</v>
      </c>
      <c r="C10">
        <v>16</v>
      </c>
      <c r="D10" t="s">
        <v>9</v>
      </c>
      <c r="E10">
        <v>11</v>
      </c>
      <c r="F10">
        <v>80</v>
      </c>
      <c r="G10">
        <v>1.8</v>
      </c>
    </row>
    <row r="11" spans="1:7" x14ac:dyDescent="0.3">
      <c r="A11" t="s">
        <v>27</v>
      </c>
      <c r="B11" t="s">
        <v>28</v>
      </c>
      <c r="C11">
        <v>15</v>
      </c>
      <c r="D11" t="s">
        <v>12</v>
      </c>
      <c r="E11">
        <v>10</v>
      </c>
      <c r="F11">
        <v>93</v>
      </c>
      <c r="G11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C64AC-9182-4F7D-8170-094DFA82E8F1}">
  <dimension ref="A1:L30"/>
  <sheetViews>
    <sheetView tabSelected="1" topLeftCell="B1" workbookViewId="0">
      <selection activeCell="H14" sqref="H14"/>
    </sheetView>
  </sheetViews>
  <sheetFormatPr defaultRowHeight="14.4" x14ac:dyDescent="0.3"/>
  <cols>
    <col min="1" max="7" width="13" customWidth="1"/>
    <col min="8" max="8" width="29.109375" customWidth="1"/>
    <col min="9" max="9" width="18.33203125" customWidth="1"/>
    <col min="10" max="10" width="19" customWidth="1"/>
    <col min="11" max="11" width="16.21875" customWidth="1"/>
    <col min="12" max="12" width="12.77734375" customWidth="1"/>
  </cols>
  <sheetData>
    <row r="1" spans="1:12" ht="22.2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I1" s="4" t="s">
        <v>29</v>
      </c>
      <c r="J1" s="4" t="s">
        <v>5</v>
      </c>
      <c r="K1" s="4" t="s">
        <v>6</v>
      </c>
      <c r="L1" s="4" t="s">
        <v>3</v>
      </c>
    </row>
    <row r="2" spans="1:12" x14ac:dyDescent="0.3">
      <c r="A2" s="1" t="s">
        <v>7</v>
      </c>
      <c r="B2" s="1" t="s">
        <v>8</v>
      </c>
      <c r="C2" s="1">
        <v>15</v>
      </c>
      <c r="D2" s="1" t="s">
        <v>9</v>
      </c>
      <c r="E2" s="1">
        <v>10</v>
      </c>
      <c r="F2" s="1">
        <v>92</v>
      </c>
      <c r="G2" s="1">
        <v>2.5</v>
      </c>
      <c r="I2" s="5" t="s">
        <v>30</v>
      </c>
      <c r="J2" s="1">
        <f>SUM(F2:F11)</f>
        <v>902</v>
      </c>
      <c r="K2" s="1"/>
      <c r="L2" s="3"/>
    </row>
    <row r="3" spans="1:12" x14ac:dyDescent="0.3">
      <c r="A3" s="1" t="s">
        <v>10</v>
      </c>
      <c r="B3" s="1" t="s">
        <v>11</v>
      </c>
      <c r="C3" s="1">
        <v>15</v>
      </c>
      <c r="D3" s="1" t="s">
        <v>60</v>
      </c>
      <c r="E3" s="1">
        <v>10</v>
      </c>
      <c r="F3" s="1">
        <v>96</v>
      </c>
      <c r="G3" s="1">
        <v>3</v>
      </c>
      <c r="I3" s="5" t="s">
        <v>31</v>
      </c>
      <c r="J3" s="1">
        <f>MIN(F2:F11)</f>
        <v>78</v>
      </c>
      <c r="K3" s="1"/>
      <c r="L3" s="3"/>
    </row>
    <row r="4" spans="1:12" x14ac:dyDescent="0.3">
      <c r="A4" s="1" t="s">
        <v>13</v>
      </c>
      <c r="B4" s="1" t="s">
        <v>14</v>
      </c>
      <c r="C4" s="1">
        <v>16</v>
      </c>
      <c r="D4" s="1" t="s">
        <v>9</v>
      </c>
      <c r="E4" s="1">
        <v>11</v>
      </c>
      <c r="F4" s="1">
        <v>88</v>
      </c>
      <c r="G4" s="1">
        <v>2</v>
      </c>
      <c r="I4" s="5" t="s">
        <v>32</v>
      </c>
      <c r="J4" s="1">
        <f>MAX(F2:F11)</f>
        <v>99</v>
      </c>
      <c r="K4" s="1"/>
      <c r="L4" s="3"/>
    </row>
    <row r="5" spans="1:12" x14ac:dyDescent="0.3">
      <c r="A5" s="1" t="s">
        <v>15</v>
      </c>
      <c r="B5" s="1" t="s">
        <v>16</v>
      </c>
      <c r="C5" s="1">
        <v>15</v>
      </c>
      <c r="D5" s="1" t="s">
        <v>12</v>
      </c>
      <c r="E5" s="1">
        <v>10</v>
      </c>
      <c r="F5" s="1">
        <v>98</v>
      </c>
      <c r="G5" s="1">
        <v>3.5</v>
      </c>
      <c r="I5" s="5" t="s">
        <v>33</v>
      </c>
      <c r="J5" s="1">
        <f>COUNT(F2:F11)</f>
        <v>10</v>
      </c>
      <c r="K5" s="1"/>
      <c r="L5" s="3"/>
    </row>
    <row r="6" spans="1:12" x14ac:dyDescent="0.3">
      <c r="A6" s="1" t="s">
        <v>17</v>
      </c>
      <c r="B6" s="1" t="s">
        <v>18</v>
      </c>
      <c r="C6" s="1">
        <v>16</v>
      </c>
      <c r="D6" s="1" t="s">
        <v>9</v>
      </c>
      <c r="E6" s="1">
        <v>11</v>
      </c>
      <c r="F6" s="1">
        <v>78</v>
      </c>
      <c r="G6" s="1">
        <v>1.5</v>
      </c>
      <c r="I6" s="5" t="s">
        <v>34</v>
      </c>
      <c r="J6" s="1">
        <f>COUNTA(F2:F12)</f>
        <v>11</v>
      </c>
      <c r="K6" s="1"/>
      <c r="L6" s="3"/>
    </row>
    <row r="7" spans="1:12" x14ac:dyDescent="0.3">
      <c r="A7" s="1" t="s">
        <v>19</v>
      </c>
      <c r="B7" s="1" t="s">
        <v>20</v>
      </c>
      <c r="C7" s="1">
        <v>15</v>
      </c>
      <c r="D7" s="1" t="s">
        <v>12</v>
      </c>
      <c r="E7" s="1">
        <v>10</v>
      </c>
      <c r="F7" s="1">
        <v>91</v>
      </c>
      <c r="G7" s="1">
        <v>2.8</v>
      </c>
      <c r="I7" s="5" t="s">
        <v>35</v>
      </c>
      <c r="J7" s="1">
        <f>COUNTBLANK(F2:F12)</f>
        <v>0</v>
      </c>
      <c r="K7" s="1"/>
      <c r="L7" s="3"/>
    </row>
    <row r="8" spans="1:12" x14ac:dyDescent="0.3">
      <c r="A8" s="1" t="s">
        <v>21</v>
      </c>
      <c r="B8" s="1" t="s">
        <v>22</v>
      </c>
      <c r="C8" s="1">
        <v>16</v>
      </c>
      <c r="D8" s="1" t="s">
        <v>9</v>
      </c>
      <c r="E8" s="1">
        <v>11</v>
      </c>
      <c r="F8" s="1">
        <v>87</v>
      </c>
      <c r="G8" s="1">
        <v>2.2000000000000002</v>
      </c>
      <c r="I8" s="5" t="s">
        <v>43</v>
      </c>
      <c r="J8" s="1">
        <f>LARGE(F2:F12, 1)</f>
        <v>99</v>
      </c>
      <c r="K8" s="1"/>
      <c r="L8" s="3"/>
    </row>
    <row r="9" spans="1:12" x14ac:dyDescent="0.3">
      <c r="A9" s="1" t="s">
        <v>23</v>
      </c>
      <c r="B9" s="1" t="s">
        <v>24</v>
      </c>
      <c r="C9" s="1">
        <v>15</v>
      </c>
      <c r="D9" s="1" t="s">
        <v>12</v>
      </c>
      <c r="E9" s="1">
        <v>10</v>
      </c>
      <c r="F9" s="1">
        <v>99</v>
      </c>
      <c r="G9" s="1">
        <v>4</v>
      </c>
      <c r="I9" s="5" t="s">
        <v>47</v>
      </c>
      <c r="J9" s="1">
        <f>LARGE(F2:F12,2)</f>
        <v>98</v>
      </c>
      <c r="K9" s="1"/>
      <c r="L9" s="3"/>
    </row>
    <row r="10" spans="1:12" x14ac:dyDescent="0.3">
      <c r="A10" s="1" t="s">
        <v>25</v>
      </c>
      <c r="B10" s="1" t="s">
        <v>26</v>
      </c>
      <c r="C10" s="1">
        <v>16</v>
      </c>
      <c r="D10" s="1" t="s">
        <v>9</v>
      </c>
      <c r="E10" s="1">
        <v>11</v>
      </c>
      <c r="F10" s="1">
        <v>80</v>
      </c>
      <c r="G10" s="1">
        <v>1.8</v>
      </c>
      <c r="I10" s="5" t="s">
        <v>48</v>
      </c>
      <c r="J10" s="1">
        <f>LARGE(F2:F11,3)</f>
        <v>96</v>
      </c>
      <c r="K10" s="1"/>
      <c r="L10" s="3"/>
    </row>
    <row r="11" spans="1:12" x14ac:dyDescent="0.3">
      <c r="A11" s="1" t="s">
        <v>27</v>
      </c>
      <c r="B11" s="1" t="s">
        <v>28</v>
      </c>
      <c r="C11" s="1">
        <v>15</v>
      </c>
      <c r="D11" s="1" t="s">
        <v>12</v>
      </c>
      <c r="E11" s="1">
        <v>10</v>
      </c>
      <c r="F11" s="1">
        <v>93</v>
      </c>
      <c r="G11" s="1">
        <v>3</v>
      </c>
      <c r="I11" s="5" t="s">
        <v>44</v>
      </c>
      <c r="J11" s="1">
        <f>SMALL(F2:F12,1)</f>
        <v>78</v>
      </c>
      <c r="K11" s="1"/>
      <c r="L11" s="3"/>
    </row>
    <row r="12" spans="1:12" x14ac:dyDescent="0.3">
      <c r="F12" s="3" t="s">
        <v>36</v>
      </c>
      <c r="G12" s="1">
        <v>-45</v>
      </c>
      <c r="I12" s="5" t="s">
        <v>45</v>
      </c>
      <c r="J12" s="1">
        <f>SMALL(F2:F11,2)</f>
        <v>80</v>
      </c>
      <c r="K12" s="1"/>
      <c r="L12" s="3"/>
    </row>
    <row r="13" spans="1:12" x14ac:dyDescent="0.3">
      <c r="I13" s="5" t="s">
        <v>46</v>
      </c>
      <c r="J13" s="1">
        <f>SMALL(F2:F12,3)</f>
        <v>87</v>
      </c>
      <c r="K13" s="1"/>
      <c r="L13" s="3"/>
    </row>
    <row r="14" spans="1:12" x14ac:dyDescent="0.3">
      <c r="I14" s="5" t="s">
        <v>37</v>
      </c>
      <c r="J14" s="1"/>
      <c r="K14" s="1">
        <f>ROUND(G2,0)</f>
        <v>3</v>
      </c>
      <c r="L14" s="3"/>
    </row>
    <row r="15" spans="1:12" x14ac:dyDescent="0.3">
      <c r="I15" s="5" t="s">
        <v>38</v>
      </c>
      <c r="J15" s="1"/>
      <c r="K15" s="1">
        <f>ABS(G12)</f>
        <v>45</v>
      </c>
      <c r="L15" s="3"/>
    </row>
    <row r="16" spans="1:12" x14ac:dyDescent="0.3">
      <c r="I16" s="5" t="s">
        <v>39</v>
      </c>
      <c r="J16" s="3">
        <f>AVERAGE(F2:F12)</f>
        <v>90.2</v>
      </c>
      <c r="K16" s="3"/>
      <c r="L16" s="3"/>
    </row>
    <row r="17" spans="4:12" x14ac:dyDescent="0.3">
      <c r="D17" t="str">
        <f>_xlfn.IFS(F2&lt;=91,"GOOD",F2&gt;=92,"VGOOD",F2&lt;=85,"BAD")</f>
        <v>VGOOD</v>
      </c>
      <c r="I17" s="5" t="s">
        <v>40</v>
      </c>
      <c r="J17" s="3">
        <f>MEDIAN(F2:F12)</f>
        <v>91.5</v>
      </c>
      <c r="K17" s="3"/>
      <c r="L17" s="3"/>
    </row>
    <row r="18" spans="4:12" x14ac:dyDescent="0.3">
      <c r="I18" s="5" t="s">
        <v>41</v>
      </c>
      <c r="J18" s="3">
        <f>_xlfn.VAR.S(F2:F11)</f>
        <v>50.177777777777777</v>
      </c>
      <c r="K18" s="3"/>
      <c r="L18" s="3"/>
    </row>
    <row r="19" spans="4:12" x14ac:dyDescent="0.3">
      <c r="I19" s="5" t="s">
        <v>42</v>
      </c>
      <c r="J19" s="3">
        <f>_xlfn.STDEV.S(F2:F12)</f>
        <v>7.0836274448743968</v>
      </c>
      <c r="K19" s="3"/>
      <c r="L19" s="3"/>
    </row>
    <row r="20" spans="4:12" x14ac:dyDescent="0.3">
      <c r="I20" s="5" t="s">
        <v>49</v>
      </c>
      <c r="J20" s="3" t="str">
        <f>IF(F2&gt;90,"EXCELLENT")</f>
        <v>EXCELLENT</v>
      </c>
      <c r="K20" s="3"/>
      <c r="L20" s="3"/>
    </row>
    <row r="21" spans="4:12" x14ac:dyDescent="0.3">
      <c r="I21" s="5" t="s">
        <v>50</v>
      </c>
      <c r="J21" s="3"/>
      <c r="K21" s="3" t="str">
        <f>_xlfn.IFS(G2&lt;=2.5,"BAD",G2&gt;=2.6,"GOOD",G2&gt;=3.5,"EXEC")</f>
        <v>BAD</v>
      </c>
      <c r="L21" s="3"/>
    </row>
    <row r="22" spans="4:12" x14ac:dyDescent="0.3">
      <c r="I22" s="5" t="s">
        <v>51</v>
      </c>
      <c r="J22" s="3"/>
      <c r="K22" s="3"/>
      <c r="L22" s="3">
        <f>COUNTIF(D2:D11,"MALE")</f>
        <v>5</v>
      </c>
    </row>
    <row r="23" spans="4:12" x14ac:dyDescent="0.3">
      <c r="I23" s="5" t="s">
        <v>52</v>
      </c>
      <c r="J23" s="3"/>
      <c r="K23" s="3"/>
      <c r="L23" s="3">
        <f>SUMIF(D2:D11,"FEMALE",F2:F11)</f>
        <v>477</v>
      </c>
    </row>
    <row r="24" spans="4:12" x14ac:dyDescent="0.3">
      <c r="I24" s="5" t="s">
        <v>53</v>
      </c>
      <c r="J24" s="3"/>
      <c r="K24" s="3"/>
      <c r="L24" s="3">
        <f>AVERAGEIF(D2:D11,"MALE",F2:F11)</f>
        <v>85</v>
      </c>
    </row>
    <row r="25" spans="4:12" x14ac:dyDescent="0.3">
      <c r="I25" s="5" t="s">
        <v>54</v>
      </c>
      <c r="J25" s="3"/>
      <c r="K25" s="3"/>
      <c r="L25" s="3" t="str">
        <f>PROPER(D3)</f>
        <v>Female</v>
      </c>
    </row>
    <row r="26" spans="4:12" x14ac:dyDescent="0.3">
      <c r="I26" s="5" t="s">
        <v>55</v>
      </c>
      <c r="J26" s="3"/>
      <c r="K26" s="3"/>
      <c r="L26" s="3" t="str">
        <f>UPPER(D3)</f>
        <v>FEMALE</v>
      </c>
    </row>
    <row r="27" spans="4:12" x14ac:dyDescent="0.3">
      <c r="I27" s="5" t="s">
        <v>56</v>
      </c>
      <c r="J27" s="3"/>
      <c r="K27" s="3"/>
      <c r="L27" s="3" t="str">
        <f>LOWER(D3)</f>
        <v>female</v>
      </c>
    </row>
    <row r="28" spans="4:12" x14ac:dyDescent="0.3">
      <c r="I28" s="5" t="s">
        <v>57</v>
      </c>
      <c r="J28" s="3"/>
      <c r="K28" s="3"/>
      <c r="L28" s="3" t="str">
        <f>RIGHT(D3,2)</f>
        <v>le</v>
      </c>
    </row>
    <row r="29" spans="4:12" x14ac:dyDescent="0.3">
      <c r="I29" s="5" t="s">
        <v>58</v>
      </c>
      <c r="J29" s="3"/>
      <c r="K29" s="3"/>
      <c r="L29" s="3" t="str">
        <f>LEFT(D3,3)</f>
        <v>FeM</v>
      </c>
    </row>
    <row r="30" spans="4:12" x14ac:dyDescent="0.3">
      <c r="I30" s="5" t="s">
        <v>59</v>
      </c>
      <c r="J30" s="3"/>
      <c r="K30" s="3"/>
      <c r="L30" s="3" t="str">
        <f>MID(B11,3,4)</f>
        <v>swar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session4data</vt:lpstr>
      <vt:lpstr>ACTIVITY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LEBIN</dc:creator>
  <cp:lastModifiedBy>Lebin Das</cp:lastModifiedBy>
  <dcterms:created xsi:type="dcterms:W3CDTF">2026-09-11T16:33:03Z</dcterms:created>
  <dcterms:modified xsi:type="dcterms:W3CDTF">2026-09-12T15:14:57Z</dcterms:modified>
</cp:coreProperties>
</file>